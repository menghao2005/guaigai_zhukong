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<sst xmlns="http://schemas.openxmlformats.org/spreadsheetml/2006/main" count="120" uniqueCount="97">
  <si>
    <t>dadiaopluspromax</t>
  </si>
  <si>
    <t>startup_stm32f103xe.o</t>
  </si>
  <si>
    <t>usart.o</t>
  </si>
  <si>
    <t>tim.o</t>
  </si>
  <si>
    <t>c_w.l</t>
  </si>
  <si>
    <t>libspace.o</t>
  </si>
  <si>
    <t>i2c.o</t>
  </si>
  <si>
    <t>stepping_motor.o</t>
  </si>
  <si>
    <t>qrread.o</t>
  </si>
  <si>
    <t>gyro.o</t>
  </si>
  <si>
    <t>route.o</t>
  </si>
  <si>
    <t>pid.o</t>
  </si>
  <si>
    <t>stm32f1xx_hal.o</t>
  </si>
  <si>
    <t>system_stm32f1xx.o</t>
  </si>
  <si>
    <t>mpu.o</t>
  </si>
  <si>
    <t>fz_ws.l</t>
  </si>
  <si>
    <t>stm32f1xx_hal_tim.o</t>
  </si>
  <si>
    <t>stm32f1xx_hal_uart.o</t>
  </si>
  <si>
    <t>stm32f1xx_hal_rcc.o</t>
  </si>
  <si>
    <t>daddsub_clz.o</t>
  </si>
  <si>
    <t>ddiv.o</t>
  </si>
  <si>
    <t>stm32f1xx_hal_gpio.o</t>
  </si>
  <si>
    <t>faddsub_clz.o</t>
  </si>
  <si>
    <t>stm32f1xx_hal_i2c.o</t>
  </si>
  <si>
    <t>stm32f1xx_hal_dma.o</t>
  </si>
  <si>
    <t>gpio.o</t>
  </si>
  <si>
    <t>dmul.o</t>
  </si>
  <si>
    <t>fmul.o</t>
  </si>
  <si>
    <t>stm32f1xx_hal_cortex.o</t>
  </si>
  <si>
    <t>_printf_intcommon.o</t>
  </si>
  <si>
    <t>stm32f1xx_it.o</t>
  </si>
  <si>
    <t>dnaninf.o</t>
  </si>
  <si>
    <t>main.o</t>
  </si>
  <si>
    <t>fcmp4.o</t>
  </si>
  <si>
    <t>fnaninf.o</t>
  </si>
  <si>
    <t>stm32f1xx_hal_tim_ex.o</t>
  </si>
  <si>
    <t>dleqf.o</t>
  </si>
  <si>
    <t>_printf_dec.o</t>
  </si>
  <si>
    <t>drleqf.o</t>
  </si>
  <si>
    <t>fleqf.o</t>
  </si>
  <si>
    <t>__printf.o</t>
  </si>
  <si>
    <t>retnan.o</t>
  </si>
  <si>
    <t>dfixu.o</t>
  </si>
  <si>
    <t>fflt_clz.o</t>
  </si>
  <si>
    <t>f2d.o</t>
  </si>
  <si>
    <t>dflt_clz.o</t>
  </si>
  <si>
    <t>toservo.o</t>
  </si>
  <si>
    <t>_printf_str.o</t>
  </si>
  <si>
    <t>m_ws.l</t>
  </si>
  <si>
    <t>rt_memclr_w.o</t>
  </si>
  <si>
    <t>scalbnf.o</t>
  </si>
  <si>
    <t>redandhui.o</t>
  </si>
  <si>
    <t>sys_stackheap_outer.o</t>
  </si>
  <si>
    <t>stm32f1xx_hal_msp.o</t>
  </si>
  <si>
    <t>ffix.o</t>
  </si>
  <si>
    <t>__scatter.o</t>
  </si>
  <si>
    <t>trapv.o</t>
  </si>
  <si>
    <t>_printf_char_common.o</t>
  </si>
  <si>
    <t>_printf_char.o</t>
  </si>
  <si>
    <t>fminf.o</t>
  </si>
  <si>
    <t>fmaxf.o</t>
  </si>
  <si>
    <t>_printf_char_file.o</t>
  </si>
  <si>
    <t>__scatter_zi.o</t>
  </si>
  <si>
    <t>__scatter_copy.o</t>
  </si>
  <si>
    <t>fcmpi.o</t>
  </si>
  <si>
    <t>dcmpi.o</t>
  </si>
  <si>
    <t>noretval__2printf.o</t>
  </si>
  <si>
    <t>exit.o</t>
  </si>
  <si>
    <t>fcheck1.o</t>
  </si>
  <si>
    <t>dretinf.o</t>
  </si>
  <si>
    <t>__rtentry2.o</t>
  </si>
  <si>
    <t>fretinf.o</t>
  </si>
  <si>
    <t>rtexit2.o</t>
  </si>
  <si>
    <t>ferror.o</t>
  </si>
  <si>
    <t>__main.o</t>
  </si>
  <si>
    <t>heapauxi.o</t>
  </si>
  <si>
    <t>_printf_s.o</t>
  </si>
  <si>
    <t>_printf_d.o</t>
  </si>
  <si>
    <t>__rtentry4.o</t>
  </si>
  <si>
    <t>_printf_percent_end.o</t>
  </si>
  <si>
    <t>use_no_semi_2.o</t>
  </si>
  <si>
    <t>use_no_semi.o</t>
  </si>
  <si>
    <t>rtexit.o</t>
  </si>
  <si>
    <t>libshutdown2.o</t>
  </si>
  <si>
    <t>libshutdown.o</t>
  </si>
  <si>
    <t>libinit2.o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</si>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</sst>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ram_percent!$A$3:$A$89</c:f>
              <c:strCache>
                <c:ptCount val="87"/>
                <c:pt idx="0">
                  <c:v>startup_stm32f103xe.o</c:v>
                </c:pt>
                <c:pt idx="1">
                  <c:v>usart.o</c:v>
                </c:pt>
                <c:pt idx="2">
                  <c:v>tim.o</c:v>
                </c:pt>
                <c:pt idx="3">
                  <c:v>c_w.l</c:v>
                </c:pt>
                <c:pt idx="4">
                  <c:v>libspace.o</c:v>
                </c:pt>
                <c:pt idx="5">
                  <c:v>i2c.o</c:v>
                </c:pt>
                <c:pt idx="6">
                  <c:v>stepping_motor.o</c:v>
                </c:pt>
                <c:pt idx="7">
                  <c:v>qrread.o</c:v>
                </c:pt>
                <c:pt idx="8">
                  <c:v>gyro.o</c:v>
                </c:pt>
                <c:pt idx="9">
                  <c:v>route.o</c:v>
                </c:pt>
                <c:pt idx="10">
                  <c:v>pid.o</c:v>
                </c:pt>
                <c:pt idx="11">
                  <c:v>stm32f1xx_hal.o</c:v>
                </c:pt>
                <c:pt idx="12">
                  <c:v>system_stm32f1xx.o</c:v>
                </c:pt>
                <c:pt idx="13">
                  <c:v>mpu.o</c:v>
                </c:pt>
                <c:pt idx="86">
                  <c:v>Totals</c:v>
                </c:pt>
              </c:strCache>
            </c:strRef>
          </c:cat>
          <c:val>
            <c:numRef>
              <c:f>ram_percent!$B$3:$B$89</c:f>
              <c:numCache>
                <c:formatCode>General</c:formatCode>
                <c:ptCount val="87"/>
                <c:pt idx="0">
                  <c:v>62.92502975463867</c:v>
                </c:pt>
                <c:pt idx="1">
                  <c:v>11.79844284057617</c:v>
                </c:pt>
                <c:pt idx="2">
                  <c:v>5.899221420288086</c:v>
                </c:pt>
                <c:pt idx="3">
                  <c:v>3.932814359664917</c:v>
                </c:pt>
                <c:pt idx="4">
                  <c:v>3.932814359664917</c:v>
                </c:pt>
                <c:pt idx="5">
                  <c:v>3.44121265411377</c:v>
                </c:pt>
                <c:pt idx="6">
                  <c:v>1.802539944648743</c:v>
                </c:pt>
                <c:pt idx="7">
                  <c:v>1.474805355072022</c:v>
                </c:pt>
                <c:pt idx="8">
                  <c:v>1.433838605880737</c:v>
                </c:pt>
                <c:pt idx="9">
                  <c:v>1.310938119888306</c:v>
                </c:pt>
                <c:pt idx="10">
                  <c:v>1.310938119888306</c:v>
                </c:pt>
                <c:pt idx="11">
                  <c:v>0.4916017949581146</c:v>
                </c:pt>
                <c:pt idx="12">
                  <c:v>0.1638672649860382</c:v>
                </c:pt>
                <c:pt idx="13">
                  <c:v>0.0819336324930191</c:v>
                </c:pt>
                <c:pt idx="8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flash_percent!$A$3:$A$89</c:f>
              <c:strCache>
                <c:ptCount val="87"/>
                <c:pt idx="0">
                  <c:v>fz_ws.l</c:v>
                </c:pt>
                <c:pt idx="1">
                  <c:v>route.o</c:v>
                </c:pt>
                <c:pt idx="2">
                  <c:v>stm32f1xx_hal_tim.o</c:v>
                </c:pt>
                <c:pt idx="3">
                  <c:v>stm32f1xx_hal_uart.o</c:v>
                </c:pt>
                <c:pt idx="4">
                  <c:v>stepping_motor.o</c:v>
                </c:pt>
                <c:pt idx="5">
                  <c:v>stm32f1xx_hal_rcc.o</c:v>
                </c:pt>
                <c:pt idx="6">
                  <c:v>c_w.l</c:v>
                </c:pt>
                <c:pt idx="7">
                  <c:v>mpu.o</c:v>
                </c:pt>
                <c:pt idx="8">
                  <c:v>daddsub_clz.o</c:v>
                </c:pt>
                <c:pt idx="9">
                  <c:v>ddiv.o</c:v>
                </c:pt>
                <c:pt idx="10">
                  <c:v>usart.o</c:v>
                </c:pt>
                <c:pt idx="11">
                  <c:v>stm32f1xx_hal_gpio.o</c:v>
                </c:pt>
                <c:pt idx="12">
                  <c:v>tim.o</c:v>
                </c:pt>
                <c:pt idx="13">
                  <c:v>faddsub_clz.o</c:v>
                </c:pt>
                <c:pt idx="14">
                  <c:v>stm32f1xx_hal_i2c.o</c:v>
                </c:pt>
                <c:pt idx="15">
                  <c:v>stm32f1xx_hal_dma.o</c:v>
                </c:pt>
                <c:pt idx="16">
                  <c:v>startup_stm32f103xe.o</c:v>
                </c:pt>
                <c:pt idx="17">
                  <c:v>gpio.o</c:v>
                </c:pt>
                <c:pt idx="18">
                  <c:v>dmul.o</c:v>
                </c:pt>
                <c:pt idx="19">
                  <c:v>fmul.o</c:v>
                </c:pt>
                <c:pt idx="20">
                  <c:v>pid.o</c:v>
                </c:pt>
                <c:pt idx="21">
                  <c:v>stm32f1xx_hal_cortex.o</c:v>
                </c:pt>
                <c:pt idx="22">
                  <c:v>gyro.o</c:v>
                </c:pt>
                <c:pt idx="23">
                  <c:v>_printf_intcommon.o</c:v>
                </c:pt>
                <c:pt idx="24">
                  <c:v>stm32f1xx_hal.o</c:v>
                </c:pt>
                <c:pt idx="25">
                  <c:v>i2c.o</c:v>
                </c:pt>
                <c:pt idx="26">
                  <c:v>stm32f1xx_it.o</c:v>
                </c:pt>
                <c:pt idx="27">
                  <c:v>dnaninf.o</c:v>
                </c:pt>
                <c:pt idx="28">
                  <c:v>main.o</c:v>
                </c:pt>
                <c:pt idx="29">
                  <c:v>qrread.o</c:v>
                </c:pt>
                <c:pt idx="30">
                  <c:v>fcmp4.o</c:v>
                </c:pt>
                <c:pt idx="31">
                  <c:v>fnaninf.o</c:v>
                </c:pt>
                <c:pt idx="32">
                  <c:v>stm32f1xx_hal_tim_ex.o</c:v>
                </c:pt>
                <c:pt idx="33">
                  <c:v>dleqf.o</c:v>
                </c:pt>
                <c:pt idx="34">
                  <c:v>_printf_dec.o</c:v>
                </c:pt>
                <c:pt idx="35">
                  <c:v>drleqf.o</c:v>
                </c:pt>
                <c:pt idx="36">
                  <c:v>fleqf.o</c:v>
                </c:pt>
                <c:pt idx="37">
                  <c:v>__printf.o</c:v>
                </c:pt>
                <c:pt idx="38">
                  <c:v>retnan.o</c:v>
                </c:pt>
                <c:pt idx="39">
                  <c:v>dfixu.o</c:v>
                </c:pt>
                <c:pt idx="40">
                  <c:v>fflt_clz.o</c:v>
                </c:pt>
                <c:pt idx="41">
                  <c:v>f2d.o</c:v>
                </c:pt>
                <c:pt idx="42">
                  <c:v>dflt_clz.o</c:v>
                </c:pt>
                <c:pt idx="43">
                  <c:v>toservo.o</c:v>
                </c:pt>
                <c:pt idx="44">
                  <c:v>_printf_str.o</c:v>
                </c:pt>
                <c:pt idx="45">
                  <c:v>m_ws.l</c:v>
                </c:pt>
                <c:pt idx="46">
                  <c:v>rt_memclr_w.o</c:v>
                </c:pt>
                <c:pt idx="47">
                  <c:v>scalbnf.o</c:v>
                </c:pt>
                <c:pt idx="48">
                  <c:v>redandhui.o</c:v>
                </c:pt>
                <c:pt idx="49">
                  <c:v>sys_stackheap_outer.o</c:v>
                </c:pt>
                <c:pt idx="50">
                  <c:v>stm32f1xx_hal_msp.o</c:v>
                </c:pt>
                <c:pt idx="51">
                  <c:v>ffix.o</c:v>
                </c:pt>
                <c:pt idx="52">
                  <c:v>__scatter.o</c:v>
                </c:pt>
                <c:pt idx="53">
                  <c:v>trapv.o</c:v>
                </c:pt>
                <c:pt idx="54">
                  <c:v>_printf_char_common.o</c:v>
                </c:pt>
                <c:pt idx="55">
                  <c:v>_printf_char.o</c:v>
                </c:pt>
                <c:pt idx="56">
                  <c:v>fminf.o</c:v>
                </c:pt>
                <c:pt idx="57">
                  <c:v>fmaxf.o</c:v>
                </c:pt>
                <c:pt idx="58">
                  <c:v>_printf_char_file.o</c:v>
                </c:pt>
                <c:pt idx="59">
                  <c:v>system_stm32f1xx.o</c:v>
                </c:pt>
                <c:pt idx="60">
                  <c:v>__scatter_zi.o</c:v>
                </c:pt>
                <c:pt idx="61">
                  <c:v>__scatter_copy.o</c:v>
                </c:pt>
                <c:pt idx="62">
                  <c:v>fcmpi.o</c:v>
                </c:pt>
                <c:pt idx="63">
                  <c:v>dcmpi.o</c:v>
                </c:pt>
                <c:pt idx="64">
                  <c:v>noretval__2printf.o</c:v>
                </c:pt>
                <c:pt idx="65">
                  <c:v>exit.o</c:v>
                </c:pt>
                <c:pt idx="66">
                  <c:v>fcheck1.o</c:v>
                </c:pt>
                <c:pt idx="67">
                  <c:v>dretinf.o</c:v>
                </c:pt>
                <c:pt idx="68">
                  <c:v>__rtentry2.o</c:v>
                </c:pt>
                <c:pt idx="69">
                  <c:v>fretinf.o</c:v>
                </c:pt>
                <c:pt idx="70">
                  <c:v>rtexit2.o</c:v>
                </c:pt>
                <c:pt idx="71">
                  <c:v>libspace.o</c:v>
                </c:pt>
                <c:pt idx="72">
                  <c:v>ferror.o</c:v>
                </c:pt>
                <c:pt idx="73">
                  <c:v>__main.o</c:v>
                </c:pt>
                <c:pt idx="74">
                  <c:v>heapauxi.o</c:v>
                </c:pt>
                <c:pt idx="75">
                  <c:v>_printf_s.o</c:v>
                </c:pt>
                <c:pt idx="76">
                  <c:v>_printf_d.o</c:v>
                </c:pt>
                <c:pt idx="77">
                  <c:v>__rtentry4.o</c:v>
                </c:pt>
                <c:pt idx="78">
                  <c:v>_printf_percent_end.o</c:v>
                </c:pt>
                <c:pt idx="79">
                  <c:v>use_no_semi_2.o</c:v>
                </c:pt>
                <c:pt idx="80">
                  <c:v>use_no_semi.o</c:v>
                </c:pt>
                <c:pt idx="81">
                  <c:v>rtexit.o</c:v>
                </c:pt>
                <c:pt idx="82">
                  <c:v>libshutdown2.o</c:v>
                </c:pt>
                <c:pt idx="83">
                  <c:v>libshutdown.o</c:v>
                </c:pt>
                <c:pt idx="84">
                  <c:v>libinit2.o</c:v>
                </c:pt>
                <c:pt idx="85">
                  <c:v>libinit.o</c:v>
                </c:pt>
                <c:pt idx="86">
                  <c:v>Totals</c:v>
                </c:pt>
              </c:strCache>
            </c:strRef>
          </c:cat>
          <c:val>
            <c:numRef>
              <c:f>flash_percent!$B$3:$B$89</c:f>
              <c:numCache>
                <c:formatCode>General</c:formatCode>
                <c:ptCount val="87"/>
                <c:pt idx="0">
                  <c:v>15.62402725219727</c:v>
                </c:pt>
                <c:pt idx="1">
                  <c:v>11.53905963897705</c:v>
                </c:pt>
                <c:pt idx="2">
                  <c:v>7.819794654846191</c:v>
                </c:pt>
                <c:pt idx="3">
                  <c:v>6.722689151763916</c:v>
                </c:pt>
                <c:pt idx="4">
                  <c:v>6.660441875457764</c:v>
                </c:pt>
                <c:pt idx="5">
                  <c:v>4.909741878509522</c:v>
                </c:pt>
                <c:pt idx="6">
                  <c:v>3.890444993972778</c:v>
                </c:pt>
                <c:pt idx="7">
                  <c:v>3.415810823440552</c:v>
                </c:pt>
                <c:pt idx="8">
                  <c:v>3.127917766571045</c:v>
                </c:pt>
                <c:pt idx="9">
                  <c:v>2.676626205444336</c:v>
                </c:pt>
                <c:pt idx="10">
                  <c:v>2.458761215209961</c:v>
                </c:pt>
                <c:pt idx="11">
                  <c:v>2.007469654083252</c:v>
                </c:pt>
                <c:pt idx="12">
                  <c:v>1.898537158966065</c:v>
                </c:pt>
                <c:pt idx="13">
                  <c:v>1.750700235366821</c:v>
                </c:pt>
                <c:pt idx="14">
                  <c:v>1.525054454803467</c:v>
                </c:pt>
                <c:pt idx="15">
                  <c:v>1.455026507377625</c:v>
                </c:pt>
                <c:pt idx="16">
                  <c:v>1.431683778762817</c:v>
                </c:pt>
                <c:pt idx="17">
                  <c:v>1.431683778762817</c:v>
                </c:pt>
                <c:pt idx="18">
                  <c:v>1.32275128364563</c:v>
                </c:pt>
                <c:pt idx="19">
                  <c:v>1.003734827041626</c:v>
                </c:pt>
                <c:pt idx="20">
                  <c:v>0.9025832414627075</c:v>
                </c:pt>
                <c:pt idx="21">
                  <c:v>0.7703081369400024</c:v>
                </c:pt>
                <c:pt idx="22">
                  <c:v>0.7625272274017334</c:v>
                </c:pt>
                <c:pt idx="23">
                  <c:v>0.6924992203712463</c:v>
                </c:pt>
                <c:pt idx="24">
                  <c:v>0.6847183108329773</c:v>
                </c:pt>
                <c:pt idx="25">
                  <c:v>0.6847183108329773</c:v>
                </c:pt>
                <c:pt idx="26">
                  <c:v>0.6224712133407593</c:v>
                </c:pt>
                <c:pt idx="27">
                  <c:v>0.606909453868866</c:v>
                </c:pt>
                <c:pt idx="28">
                  <c:v>0.5991285443305969</c:v>
                </c:pt>
                <c:pt idx="29">
                  <c:v>0.5757858753204346</c:v>
                </c:pt>
                <c:pt idx="30">
                  <c:v>0.5524432063102722</c:v>
                </c:pt>
                <c:pt idx="31">
                  <c:v>0.5446622967720032</c:v>
                </c:pt>
                <c:pt idx="32">
                  <c:v>0.4979769587516785</c:v>
                </c:pt>
                <c:pt idx="33">
                  <c:v>0.4668534100055695</c:v>
                </c:pt>
                <c:pt idx="34">
                  <c:v>0.4668534100055695</c:v>
                </c:pt>
                <c:pt idx="35">
                  <c:v>0.4201680719852448</c:v>
                </c:pt>
                <c:pt idx="36">
                  <c:v>0.4046062827110291</c:v>
                </c:pt>
                <c:pt idx="37">
                  <c:v>0.4046062827110291</c:v>
                </c:pt>
                <c:pt idx="38">
                  <c:v>0.3890444934368134</c:v>
                </c:pt>
                <c:pt idx="39">
                  <c:v>0.3501400649547577</c:v>
                </c:pt>
                <c:pt idx="40">
                  <c:v>0.334578275680542</c:v>
                </c:pt>
                <c:pt idx="41">
                  <c:v>0.334578275680542</c:v>
                </c:pt>
                <c:pt idx="42">
                  <c:v>0.3267973959445953</c:v>
                </c:pt>
                <c:pt idx="43">
                  <c:v>0.3267973959445953</c:v>
                </c:pt>
                <c:pt idx="44">
                  <c:v>0.3190164864063263</c:v>
                </c:pt>
                <c:pt idx="45">
                  <c:v>0.3112356066703796</c:v>
                </c:pt>
                <c:pt idx="46">
                  <c:v>0.303454726934433</c:v>
                </c:pt>
                <c:pt idx="47">
                  <c:v>0.2956738173961639</c:v>
                </c:pt>
                <c:pt idx="48">
                  <c:v>0.2956738173961639</c:v>
                </c:pt>
                <c:pt idx="49">
                  <c:v>0.2878929376602173</c:v>
                </c:pt>
                <c:pt idx="50">
                  <c:v>0.2334267050027847</c:v>
                </c:pt>
                <c:pt idx="51">
                  <c:v>0.2100840359926224</c:v>
                </c:pt>
                <c:pt idx="52">
                  <c:v>0.2023031413555145</c:v>
                </c:pt>
                <c:pt idx="53">
                  <c:v>0.18674136698246</c:v>
                </c:pt>
                <c:pt idx="54">
                  <c:v>0.18674136698246</c:v>
                </c:pt>
                <c:pt idx="55">
                  <c:v>0.1711795777082443</c:v>
                </c:pt>
                <c:pt idx="56">
                  <c:v>0.1556178033351898</c:v>
                </c:pt>
                <c:pt idx="57">
                  <c:v>0.1556178033351898</c:v>
                </c:pt>
                <c:pt idx="58">
                  <c:v>0.1400560289621353</c:v>
                </c:pt>
                <c:pt idx="59">
                  <c:v>0.1167133525013924</c:v>
                </c:pt>
                <c:pt idx="60">
                  <c:v>0.1089324653148651</c:v>
                </c:pt>
                <c:pt idx="61">
                  <c:v>0.1011515706777573</c:v>
                </c:pt>
                <c:pt idx="62">
                  <c:v>0.09337068349123001</c:v>
                </c:pt>
                <c:pt idx="63">
                  <c:v>0.09337068349123001</c:v>
                </c:pt>
                <c:pt idx="64">
                  <c:v>0.09337068349123001</c:v>
                </c:pt>
                <c:pt idx="65">
                  <c:v>0.07002801448106766</c:v>
                </c:pt>
                <c:pt idx="66">
                  <c:v>0.04668534174561501</c:v>
                </c:pt>
                <c:pt idx="67">
                  <c:v>0.04668534174561501</c:v>
                </c:pt>
                <c:pt idx="68">
                  <c:v>0.04668534174561501</c:v>
                </c:pt>
                <c:pt idx="69">
                  <c:v>0.03890445083379746</c:v>
                </c:pt>
                <c:pt idx="70">
                  <c:v>0.03890445083379746</c:v>
                </c:pt>
                <c:pt idx="71">
                  <c:v>0.0311235599219799</c:v>
                </c:pt>
                <c:pt idx="72">
                  <c:v>0.0311235599219799</c:v>
                </c:pt>
                <c:pt idx="73">
                  <c:v>0.0311235599219799</c:v>
                </c:pt>
                <c:pt idx="74">
                  <c:v>0.0233426708728075</c:v>
                </c:pt>
                <c:pt idx="75">
                  <c:v>0.0233426708728075</c:v>
                </c:pt>
                <c:pt idx="76">
                  <c:v>0.0233426708728075</c:v>
                </c:pt>
                <c:pt idx="77">
                  <c:v>0.0233426708728075</c:v>
                </c:pt>
                <c:pt idx="78">
                  <c:v>0.01556177996098995</c:v>
                </c:pt>
                <c:pt idx="79">
                  <c:v>0.007780889980494976</c:v>
                </c:pt>
                <c:pt idx="80">
                  <c:v>0.007780889980494976</c:v>
                </c:pt>
                <c:pt idx="81">
                  <c:v>0.007780889980494976</c:v>
                </c:pt>
                <c:pt idx="82">
                  <c:v>0.007780889980494976</c:v>
                </c:pt>
                <c:pt idx="83">
                  <c:v>0.007780889980494976</c:v>
                </c:pt>
                <c:pt idx="84">
                  <c:v>0.007780889980494976</c:v>
                </c:pt>
                <c:pt idx="85">
                  <c:v>0.007780889980494976</c:v>
                </c:pt>
                <c:pt idx="8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89" totalsRowCount="1">
  <autoFilter ref="A2:H8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89" totalsRowCount="1">
  <autoFilter ref="A2:H8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87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8">
      <c r="A3" s="1" t="s">
        <v>1</v>
      </c>
      <c r="B3" s="2">
        <v>62.92502975463867</v>
      </c>
      <c r="C3" s="1">
        <v>1536</v>
      </c>
      <c r="D3" s="1">
        <v>368</v>
      </c>
      <c r="E3" s="1">
        <v>64</v>
      </c>
      <c r="F3" s="1">
        <v>304</v>
      </c>
      <c r="G3" s="1">
        <v>0</v>
      </c>
      <c r="H3" s="1">
        <v>1536</v>
      </c>
    </row>
    <row r="4" spans="1:8">
      <c r="A4" s="1" t="s">
        <v>2</v>
      </c>
      <c r="B4" s="2">
        <v>11.79844284057617</v>
      </c>
      <c r="C4" s="1">
        <v>288</v>
      </c>
      <c r="D4" s="1">
        <v>632</v>
      </c>
      <c r="E4" s="1">
        <v>632</v>
      </c>
      <c r="F4" s="1">
        <v>0</v>
      </c>
      <c r="G4" s="1">
        <v>0</v>
      </c>
      <c r="H4" s="1">
        <v>288</v>
      </c>
    </row>
    <row r="5" spans="1:8">
      <c r="A5" s="1" t="s">
        <v>3</v>
      </c>
      <c r="B5" s="2">
        <v>5.899221420288086</v>
      </c>
      <c r="C5" s="1">
        <v>144</v>
      </c>
      <c r="D5" s="1">
        <v>488</v>
      </c>
      <c r="E5" s="1">
        <v>488</v>
      </c>
      <c r="F5" s="1">
        <v>0</v>
      </c>
      <c r="G5" s="1">
        <v>0</v>
      </c>
      <c r="H5" s="1">
        <v>144</v>
      </c>
    </row>
    <row r="6" spans="1:8">
      <c r="A6" s="1" t="s">
        <v>4</v>
      </c>
      <c r="B6" s="2">
        <v>3.932814359664917</v>
      </c>
      <c r="C6" s="1">
        <v>96</v>
      </c>
      <c r="D6" s="1">
        <v>1000</v>
      </c>
      <c r="E6" s="1">
        <v>1000</v>
      </c>
      <c r="F6" s="1">
        <v>0</v>
      </c>
      <c r="G6" s="1">
        <v>0</v>
      </c>
      <c r="H6" s="1">
        <v>96</v>
      </c>
    </row>
    <row r="7" spans="1:8">
      <c r="A7" s="1" t="s">
        <v>5</v>
      </c>
      <c r="B7" s="2">
        <v>3.932814359664917</v>
      </c>
      <c r="C7" s="1">
        <v>96</v>
      </c>
      <c r="D7" s="1">
        <v>8</v>
      </c>
      <c r="E7" s="1">
        <v>8</v>
      </c>
      <c r="F7" s="1">
        <v>0</v>
      </c>
      <c r="G7" s="1">
        <v>0</v>
      </c>
      <c r="H7" s="1">
        <v>96</v>
      </c>
    </row>
    <row r="8" spans="1:8">
      <c r="A8" s="1" t="s">
        <v>6</v>
      </c>
      <c r="B8" s="2">
        <v>3.44121265411377</v>
      </c>
      <c r="C8" s="1">
        <v>84</v>
      </c>
      <c r="D8" s="1">
        <v>176</v>
      </c>
      <c r="E8" s="1">
        <v>176</v>
      </c>
      <c r="F8" s="1">
        <v>0</v>
      </c>
      <c r="G8" s="1">
        <v>0</v>
      </c>
      <c r="H8" s="1">
        <v>84</v>
      </c>
    </row>
    <row r="9" spans="1:8">
      <c r="A9" s="1" t="s">
        <v>7</v>
      </c>
      <c r="B9" s="2">
        <v>1.802539944648743</v>
      </c>
      <c r="C9" s="1">
        <v>44</v>
      </c>
      <c r="D9" s="1">
        <v>1712</v>
      </c>
      <c r="E9" s="1">
        <v>1692</v>
      </c>
      <c r="F9" s="1">
        <v>0</v>
      </c>
      <c r="G9" s="1">
        <v>20</v>
      </c>
      <c r="H9" s="1">
        <v>24</v>
      </c>
    </row>
    <row r="10" spans="1:8">
      <c r="A10" s="1" t="s">
        <v>8</v>
      </c>
      <c r="B10" s="2">
        <v>1.474805355072022</v>
      </c>
      <c r="C10" s="1">
        <v>36</v>
      </c>
      <c r="D10" s="1">
        <v>148</v>
      </c>
      <c r="E10" s="1">
        <v>122</v>
      </c>
      <c r="F10" s="1">
        <v>0</v>
      </c>
      <c r="G10" s="1">
        <v>26</v>
      </c>
      <c r="H10" s="1">
        <v>10</v>
      </c>
    </row>
    <row r="11" spans="1:8">
      <c r="A11" s="1" t="s">
        <v>9</v>
      </c>
      <c r="B11" s="2">
        <v>1.433838605880737</v>
      </c>
      <c r="C11" s="1">
        <v>35</v>
      </c>
      <c r="D11" s="1">
        <v>196</v>
      </c>
      <c r="E11" s="1">
        <v>188</v>
      </c>
      <c r="F11" s="1">
        <v>0</v>
      </c>
      <c r="G11" s="1">
        <v>8</v>
      </c>
      <c r="H11" s="1">
        <v>27</v>
      </c>
    </row>
    <row r="12" spans="1:8">
      <c r="A12" s="1" t="s">
        <v>10</v>
      </c>
      <c r="B12" s="2">
        <v>1.310938119888306</v>
      </c>
      <c r="C12" s="1">
        <v>32</v>
      </c>
      <c r="D12" s="1">
        <v>2966</v>
      </c>
      <c r="E12" s="1">
        <v>2934</v>
      </c>
      <c r="F12" s="1">
        <v>0</v>
      </c>
      <c r="G12" s="1">
        <v>32</v>
      </c>
      <c r="H12" s="1">
        <v>0</v>
      </c>
    </row>
    <row r="13" spans="1:8">
      <c r="A13" s="1" t="s">
        <v>11</v>
      </c>
      <c r="B13" s="2">
        <v>1.310938119888306</v>
      </c>
      <c r="C13" s="1">
        <v>32</v>
      </c>
      <c r="D13" s="1">
        <v>232</v>
      </c>
      <c r="E13" s="1">
        <v>216</v>
      </c>
      <c r="F13" s="1">
        <v>0</v>
      </c>
      <c r="G13" s="1">
        <v>16</v>
      </c>
      <c r="H13" s="1">
        <v>16</v>
      </c>
    </row>
    <row r="14" spans="1:8">
      <c r="A14" s="1" t="s">
        <v>12</v>
      </c>
      <c r="B14" s="2">
        <v>0.4916017949581146</v>
      </c>
      <c r="C14" s="1">
        <v>12</v>
      </c>
      <c r="D14" s="1">
        <v>176</v>
      </c>
      <c r="E14" s="1">
        <v>164</v>
      </c>
      <c r="F14" s="1">
        <v>0</v>
      </c>
      <c r="G14" s="1">
        <v>12</v>
      </c>
      <c r="H14" s="1">
        <v>0</v>
      </c>
    </row>
    <row r="15" spans="1:8">
      <c r="A15" s="1" t="s">
        <v>13</v>
      </c>
      <c r="B15" s="2">
        <v>0.1638672649860382</v>
      </c>
      <c r="C15" s="1">
        <v>4</v>
      </c>
      <c r="D15" s="1">
        <v>30</v>
      </c>
      <c r="E15" s="1">
        <v>2</v>
      </c>
      <c r="F15" s="1">
        <v>24</v>
      </c>
      <c r="G15" s="1">
        <v>4</v>
      </c>
      <c r="H15" s="1">
        <v>0</v>
      </c>
    </row>
    <row r="16" spans="1:8">
      <c r="A16" s="1" t="s">
        <v>14</v>
      </c>
      <c r="B16" s="2">
        <v>0.0819336324930191</v>
      </c>
      <c r="C16" s="1">
        <v>2</v>
      </c>
      <c r="D16" s="1">
        <v>878</v>
      </c>
      <c r="E16" s="1">
        <v>876</v>
      </c>
      <c r="F16" s="1">
        <v>0</v>
      </c>
      <c r="G16" s="1">
        <v>2</v>
      </c>
      <c r="H16" s="1">
        <v>0</v>
      </c>
    </row>
    <row r="89" spans="1:8">
      <c r="A89" t="s">
        <v>88</v>
      </c>
      <c r="B89">
        <f>SUBTOTAL(109,[ram_percent])</f>
        <v>0</v>
      </c>
      <c r="C89">
        <f>SUBTOTAL(109,[ram])</f>
        <v>0</v>
      </c>
      <c r="D89">
        <f>SUBTOTAL(109,[flash])</f>
        <v>0</v>
      </c>
      <c r="E89">
        <f>SUBTOTAL(109,[Code])</f>
        <v>0</v>
      </c>
      <c r="F89">
        <f>SUBTOTAL(109,[RO_data])</f>
        <v>0</v>
      </c>
      <c r="G89">
        <f>SUBTOTAL(109,[RW_data])</f>
        <v>0</v>
      </c>
      <c r="H8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87</v>
      </c>
      <c r="B2" t="s">
        <v>96</v>
      </c>
      <c r="C2" t="s">
        <v>91</v>
      </c>
      <c r="D2" t="s">
        <v>90</v>
      </c>
      <c r="E2" t="s">
        <v>92</v>
      </c>
      <c r="F2" t="s">
        <v>93</v>
      </c>
      <c r="G2" t="s">
        <v>94</v>
      </c>
      <c r="H2" t="s">
        <v>95</v>
      </c>
    </row>
    <row r="3" spans="1:8">
      <c r="A3" s="1" t="s">
        <v>15</v>
      </c>
      <c r="B3" s="2">
        <v>15.62402725219727</v>
      </c>
      <c r="C3" s="1">
        <v>4016</v>
      </c>
      <c r="D3" s="1">
        <v>0</v>
      </c>
      <c r="E3" s="1">
        <v>4016</v>
      </c>
      <c r="F3" s="1">
        <v>0</v>
      </c>
      <c r="G3" s="1">
        <v>0</v>
      </c>
      <c r="H3" s="1">
        <v>0</v>
      </c>
    </row>
    <row r="4" spans="1:8">
      <c r="A4" s="1" t="s">
        <v>10</v>
      </c>
      <c r="B4" s="2">
        <v>11.53905963897705</v>
      </c>
      <c r="C4" s="1">
        <v>2966</v>
      </c>
      <c r="D4" s="1">
        <v>32</v>
      </c>
      <c r="E4" s="1">
        <v>2934</v>
      </c>
      <c r="F4" s="1">
        <v>0</v>
      </c>
      <c r="G4" s="1">
        <v>32</v>
      </c>
      <c r="H4" s="1">
        <v>0</v>
      </c>
    </row>
    <row r="5" spans="1:8">
      <c r="A5" s="1" t="s">
        <v>16</v>
      </c>
      <c r="B5" s="2">
        <v>7.819794654846191</v>
      </c>
      <c r="C5" s="1">
        <v>2010</v>
      </c>
      <c r="D5" s="1">
        <v>0</v>
      </c>
      <c r="E5" s="1">
        <v>2010</v>
      </c>
      <c r="F5" s="1">
        <v>0</v>
      </c>
      <c r="G5" s="1">
        <v>0</v>
      </c>
      <c r="H5" s="1">
        <v>0</v>
      </c>
    </row>
    <row r="6" spans="1:8">
      <c r="A6" s="1" t="s">
        <v>17</v>
      </c>
      <c r="B6" s="2">
        <v>6.722689151763916</v>
      </c>
      <c r="C6" s="1">
        <v>1728</v>
      </c>
      <c r="D6" s="1">
        <v>0</v>
      </c>
      <c r="E6" s="1">
        <v>1728</v>
      </c>
      <c r="F6" s="1">
        <v>0</v>
      </c>
      <c r="G6" s="1">
        <v>0</v>
      </c>
      <c r="H6" s="1">
        <v>0</v>
      </c>
    </row>
    <row r="7" spans="1:8">
      <c r="A7" s="1" t="s">
        <v>7</v>
      </c>
      <c r="B7" s="2">
        <v>6.660441875457764</v>
      </c>
      <c r="C7" s="1">
        <v>1712</v>
      </c>
      <c r="D7" s="1">
        <v>44</v>
      </c>
      <c r="E7" s="1">
        <v>1692</v>
      </c>
      <c r="F7" s="1">
        <v>0</v>
      </c>
      <c r="G7" s="1">
        <v>20</v>
      </c>
      <c r="H7" s="1">
        <v>24</v>
      </c>
    </row>
    <row r="8" spans="1:8">
      <c r="A8" s="1" t="s">
        <v>18</v>
      </c>
      <c r="B8" s="2">
        <v>4.909741878509522</v>
      </c>
      <c r="C8" s="1">
        <v>1262</v>
      </c>
      <c r="D8" s="1">
        <v>0</v>
      </c>
      <c r="E8" s="1">
        <v>1244</v>
      </c>
      <c r="F8" s="1">
        <v>18</v>
      </c>
      <c r="G8" s="1">
        <v>0</v>
      </c>
      <c r="H8" s="1">
        <v>0</v>
      </c>
    </row>
    <row r="9" spans="1:8">
      <c r="A9" s="1" t="s">
        <v>4</v>
      </c>
      <c r="B9" s="2">
        <v>3.890444993972778</v>
      </c>
      <c r="C9" s="1">
        <v>1000</v>
      </c>
      <c r="D9" s="1">
        <v>96</v>
      </c>
      <c r="E9" s="1">
        <v>1000</v>
      </c>
      <c r="F9" s="1">
        <v>0</v>
      </c>
      <c r="G9" s="1">
        <v>0</v>
      </c>
      <c r="H9" s="1">
        <v>96</v>
      </c>
    </row>
    <row r="10" spans="1:8">
      <c r="A10" s="1" t="s">
        <v>14</v>
      </c>
      <c r="B10" s="2">
        <v>3.415810823440552</v>
      </c>
      <c r="C10" s="1">
        <v>878</v>
      </c>
      <c r="D10" s="1">
        <v>2</v>
      </c>
      <c r="E10" s="1">
        <v>876</v>
      </c>
      <c r="F10" s="1">
        <v>0</v>
      </c>
      <c r="G10" s="1">
        <v>2</v>
      </c>
      <c r="H10" s="1">
        <v>0</v>
      </c>
    </row>
    <row r="11" spans="1:8">
      <c r="A11" s="1" t="s">
        <v>19</v>
      </c>
      <c r="B11" s="2">
        <v>3.127917766571045</v>
      </c>
      <c r="C11" s="1">
        <v>804</v>
      </c>
      <c r="D11" s="1">
        <v>0</v>
      </c>
      <c r="E11" s="1">
        <v>804</v>
      </c>
      <c r="F11" s="1">
        <v>0</v>
      </c>
      <c r="G11" s="1">
        <v>0</v>
      </c>
      <c r="H11" s="1">
        <v>0</v>
      </c>
    </row>
    <row r="12" spans="1:8">
      <c r="A12" s="1" t="s">
        <v>20</v>
      </c>
      <c r="B12" s="2">
        <v>2.676626205444336</v>
      </c>
      <c r="C12" s="1">
        <v>688</v>
      </c>
      <c r="D12" s="1">
        <v>0</v>
      </c>
      <c r="E12" s="1">
        <v>688</v>
      </c>
      <c r="F12" s="1">
        <v>0</v>
      </c>
      <c r="G12" s="1">
        <v>0</v>
      </c>
      <c r="H12" s="1">
        <v>0</v>
      </c>
    </row>
    <row r="13" spans="1:8">
      <c r="A13" s="1" t="s">
        <v>2</v>
      </c>
      <c r="B13" s="2">
        <v>2.458761215209961</v>
      </c>
      <c r="C13" s="1">
        <v>632</v>
      </c>
      <c r="D13" s="1">
        <v>288</v>
      </c>
      <c r="E13" s="1">
        <v>632</v>
      </c>
      <c r="F13" s="1">
        <v>0</v>
      </c>
      <c r="G13" s="1">
        <v>0</v>
      </c>
      <c r="H13" s="1">
        <v>288</v>
      </c>
    </row>
    <row r="14" spans="1:8">
      <c r="A14" s="1" t="s">
        <v>21</v>
      </c>
      <c r="B14" s="2">
        <v>2.007469654083252</v>
      </c>
      <c r="C14" s="1">
        <v>516</v>
      </c>
      <c r="D14" s="1">
        <v>0</v>
      </c>
      <c r="E14" s="1">
        <v>516</v>
      </c>
      <c r="F14" s="1">
        <v>0</v>
      </c>
      <c r="G14" s="1">
        <v>0</v>
      </c>
      <c r="H14" s="1">
        <v>0</v>
      </c>
    </row>
    <row r="15" spans="1:8">
      <c r="A15" s="1" t="s">
        <v>3</v>
      </c>
      <c r="B15" s="2">
        <v>1.898537158966065</v>
      </c>
      <c r="C15" s="1">
        <v>488</v>
      </c>
      <c r="D15" s="1">
        <v>144</v>
      </c>
      <c r="E15" s="1">
        <v>488</v>
      </c>
      <c r="F15" s="1">
        <v>0</v>
      </c>
      <c r="G15" s="1">
        <v>0</v>
      </c>
      <c r="H15" s="1">
        <v>144</v>
      </c>
    </row>
    <row r="16" spans="1:8">
      <c r="A16" s="1" t="s">
        <v>22</v>
      </c>
      <c r="B16" s="2">
        <v>1.750700235366821</v>
      </c>
      <c r="C16" s="1">
        <v>450</v>
      </c>
      <c r="D16" s="1">
        <v>0</v>
      </c>
      <c r="E16" s="1">
        <v>450</v>
      </c>
      <c r="F16" s="1">
        <v>0</v>
      </c>
      <c r="G16" s="1">
        <v>0</v>
      </c>
      <c r="H16" s="1">
        <v>0</v>
      </c>
    </row>
    <row r="17" spans="1:8">
      <c r="A17" s="1" t="s">
        <v>23</v>
      </c>
      <c r="B17" s="2">
        <v>1.525054454803467</v>
      </c>
      <c r="C17" s="1">
        <v>392</v>
      </c>
      <c r="D17" s="1">
        <v>0</v>
      </c>
      <c r="E17" s="1">
        <v>392</v>
      </c>
      <c r="F17" s="1">
        <v>0</v>
      </c>
      <c r="G17" s="1">
        <v>0</v>
      </c>
      <c r="H17" s="1">
        <v>0</v>
      </c>
    </row>
    <row r="18" spans="1:8">
      <c r="A18" s="1" t="s">
        <v>24</v>
      </c>
      <c r="B18" s="2">
        <v>1.455026507377625</v>
      </c>
      <c r="C18" s="1">
        <v>374</v>
      </c>
      <c r="D18" s="1">
        <v>0</v>
      </c>
      <c r="E18" s="1">
        <v>374</v>
      </c>
      <c r="F18" s="1">
        <v>0</v>
      </c>
      <c r="G18" s="1">
        <v>0</v>
      </c>
      <c r="H18" s="1">
        <v>0</v>
      </c>
    </row>
    <row r="19" spans="1:8">
      <c r="A19" s="1" t="s">
        <v>1</v>
      </c>
      <c r="B19" s="2">
        <v>1.431683778762817</v>
      </c>
      <c r="C19" s="1">
        <v>368</v>
      </c>
      <c r="D19" s="1">
        <v>1536</v>
      </c>
      <c r="E19" s="1">
        <v>64</v>
      </c>
      <c r="F19" s="1">
        <v>304</v>
      </c>
      <c r="G19" s="1">
        <v>0</v>
      </c>
      <c r="H19" s="1">
        <v>1536</v>
      </c>
    </row>
    <row r="20" spans="1:8">
      <c r="A20" s="1" t="s">
        <v>25</v>
      </c>
      <c r="B20" s="2">
        <v>1.431683778762817</v>
      </c>
      <c r="C20" s="1">
        <v>368</v>
      </c>
      <c r="D20" s="1">
        <v>0</v>
      </c>
      <c r="E20" s="1">
        <v>368</v>
      </c>
      <c r="F20" s="1">
        <v>0</v>
      </c>
      <c r="G20" s="1">
        <v>0</v>
      </c>
      <c r="H20" s="1">
        <v>0</v>
      </c>
    </row>
    <row r="21" spans="1:8">
      <c r="A21" s="1" t="s">
        <v>26</v>
      </c>
      <c r="B21" s="2">
        <v>1.32275128364563</v>
      </c>
      <c r="C21" s="1">
        <v>340</v>
      </c>
      <c r="D21" s="1">
        <v>0</v>
      </c>
      <c r="E21" s="1">
        <v>340</v>
      </c>
      <c r="F21" s="1">
        <v>0</v>
      </c>
      <c r="G21" s="1">
        <v>0</v>
      </c>
      <c r="H21" s="1">
        <v>0</v>
      </c>
    </row>
    <row r="22" spans="1:8">
      <c r="A22" s="1" t="s">
        <v>27</v>
      </c>
      <c r="B22" s="2">
        <v>1.003734827041626</v>
      </c>
      <c r="C22" s="1">
        <v>258</v>
      </c>
      <c r="D22" s="1">
        <v>0</v>
      </c>
      <c r="E22" s="1">
        <v>258</v>
      </c>
      <c r="F22" s="1">
        <v>0</v>
      </c>
      <c r="G22" s="1">
        <v>0</v>
      </c>
      <c r="H22" s="1">
        <v>0</v>
      </c>
    </row>
    <row r="23" spans="1:8">
      <c r="A23" s="1" t="s">
        <v>11</v>
      </c>
      <c r="B23" s="2">
        <v>0.9025832414627075</v>
      </c>
      <c r="C23" s="1">
        <v>232</v>
      </c>
      <c r="D23" s="1">
        <v>32</v>
      </c>
      <c r="E23" s="1">
        <v>216</v>
      </c>
      <c r="F23" s="1">
        <v>0</v>
      </c>
      <c r="G23" s="1">
        <v>16</v>
      </c>
      <c r="H23" s="1">
        <v>16</v>
      </c>
    </row>
    <row r="24" spans="1:8">
      <c r="A24" s="1" t="s">
        <v>28</v>
      </c>
      <c r="B24" s="2">
        <v>0.7703081369400024</v>
      </c>
      <c r="C24" s="1">
        <v>198</v>
      </c>
      <c r="D24" s="1">
        <v>0</v>
      </c>
      <c r="E24" s="1">
        <v>198</v>
      </c>
      <c r="F24" s="1">
        <v>0</v>
      </c>
      <c r="G24" s="1">
        <v>0</v>
      </c>
      <c r="H24" s="1">
        <v>0</v>
      </c>
    </row>
    <row r="25" spans="1:8">
      <c r="A25" s="1" t="s">
        <v>9</v>
      </c>
      <c r="B25" s="2">
        <v>0.7625272274017334</v>
      </c>
      <c r="C25" s="1">
        <v>196</v>
      </c>
      <c r="D25" s="1">
        <v>35</v>
      </c>
      <c r="E25" s="1">
        <v>188</v>
      </c>
      <c r="F25" s="1">
        <v>0</v>
      </c>
      <c r="G25" s="1">
        <v>8</v>
      </c>
      <c r="H25" s="1">
        <v>27</v>
      </c>
    </row>
    <row r="26" spans="1:8">
      <c r="A26" s="1" t="s">
        <v>29</v>
      </c>
      <c r="B26" s="2">
        <v>0.6924992203712463</v>
      </c>
      <c r="C26" s="1">
        <v>178</v>
      </c>
      <c r="D26" s="1">
        <v>0</v>
      </c>
      <c r="E26" s="1">
        <v>178</v>
      </c>
      <c r="F26" s="1">
        <v>0</v>
      </c>
      <c r="G26" s="1">
        <v>0</v>
      </c>
      <c r="H26" s="1">
        <v>0</v>
      </c>
    </row>
    <row r="27" spans="1:8">
      <c r="A27" s="1" t="s">
        <v>12</v>
      </c>
      <c r="B27" s="2">
        <v>0.6847183108329773</v>
      </c>
      <c r="C27" s="1">
        <v>176</v>
      </c>
      <c r="D27" s="1">
        <v>12</v>
      </c>
      <c r="E27" s="1">
        <v>164</v>
      </c>
      <c r="F27" s="1">
        <v>0</v>
      </c>
      <c r="G27" s="1">
        <v>12</v>
      </c>
      <c r="H27" s="1">
        <v>0</v>
      </c>
    </row>
    <row r="28" spans="1:8">
      <c r="A28" s="1" t="s">
        <v>6</v>
      </c>
      <c r="B28" s="2">
        <v>0.6847183108329773</v>
      </c>
      <c r="C28" s="1">
        <v>176</v>
      </c>
      <c r="D28" s="1">
        <v>84</v>
      </c>
      <c r="E28" s="1">
        <v>176</v>
      </c>
      <c r="F28" s="1">
        <v>0</v>
      </c>
      <c r="G28" s="1">
        <v>0</v>
      </c>
      <c r="H28" s="1">
        <v>84</v>
      </c>
    </row>
    <row r="29" spans="1:8">
      <c r="A29" s="1" t="s">
        <v>30</v>
      </c>
      <c r="B29" s="2">
        <v>0.6224712133407593</v>
      </c>
      <c r="C29" s="1">
        <v>160</v>
      </c>
      <c r="D29" s="1">
        <v>0</v>
      </c>
      <c r="E29" s="1">
        <v>160</v>
      </c>
      <c r="F29" s="1">
        <v>0</v>
      </c>
      <c r="G29" s="1">
        <v>0</v>
      </c>
      <c r="H29" s="1">
        <v>0</v>
      </c>
    </row>
    <row r="30" spans="1:8">
      <c r="A30" s="1" t="s">
        <v>31</v>
      </c>
      <c r="B30" s="2">
        <v>0.606909453868866</v>
      </c>
      <c r="C30" s="1">
        <v>156</v>
      </c>
      <c r="D30" s="1">
        <v>0</v>
      </c>
      <c r="E30" s="1">
        <v>156</v>
      </c>
      <c r="F30" s="1">
        <v>0</v>
      </c>
      <c r="G30" s="1">
        <v>0</v>
      </c>
      <c r="H30" s="1">
        <v>0</v>
      </c>
    </row>
    <row r="31" spans="1:8">
      <c r="A31" s="1" t="s">
        <v>32</v>
      </c>
      <c r="B31" s="2">
        <v>0.5991285443305969</v>
      </c>
      <c r="C31" s="1">
        <v>154</v>
      </c>
      <c r="D31" s="1">
        <v>0</v>
      </c>
      <c r="E31" s="1">
        <v>154</v>
      </c>
      <c r="F31" s="1">
        <v>0</v>
      </c>
      <c r="G31" s="1">
        <v>0</v>
      </c>
      <c r="H31" s="1">
        <v>0</v>
      </c>
    </row>
    <row r="32" spans="1:8">
      <c r="A32" s="1" t="s">
        <v>8</v>
      </c>
      <c r="B32" s="2">
        <v>0.5757858753204346</v>
      </c>
      <c r="C32" s="1">
        <v>148</v>
      </c>
      <c r="D32" s="1">
        <v>36</v>
      </c>
      <c r="E32" s="1">
        <v>122</v>
      </c>
      <c r="F32" s="1">
        <v>0</v>
      </c>
      <c r="G32" s="1">
        <v>26</v>
      </c>
      <c r="H32" s="1">
        <v>10</v>
      </c>
    </row>
    <row r="33" spans="1:8">
      <c r="A33" s="1" t="s">
        <v>33</v>
      </c>
      <c r="B33" s="2">
        <v>0.5524432063102722</v>
      </c>
      <c r="C33" s="1">
        <v>142</v>
      </c>
      <c r="D33" s="1">
        <v>0</v>
      </c>
      <c r="E33" s="1">
        <v>142</v>
      </c>
      <c r="F33" s="1">
        <v>0</v>
      </c>
      <c r="G33" s="1">
        <v>0</v>
      </c>
      <c r="H33" s="1">
        <v>0</v>
      </c>
    </row>
    <row r="34" spans="1:8">
      <c r="A34" s="1" t="s">
        <v>34</v>
      </c>
      <c r="B34" s="2">
        <v>0.5446622967720032</v>
      </c>
      <c r="C34" s="1">
        <v>140</v>
      </c>
      <c r="D34" s="1">
        <v>0</v>
      </c>
      <c r="E34" s="1">
        <v>140</v>
      </c>
      <c r="F34" s="1">
        <v>0</v>
      </c>
      <c r="G34" s="1">
        <v>0</v>
      </c>
      <c r="H34" s="1">
        <v>0</v>
      </c>
    </row>
    <row r="35" spans="1:8">
      <c r="A35" s="1" t="s">
        <v>35</v>
      </c>
      <c r="B35" s="2">
        <v>0.4979769587516785</v>
      </c>
      <c r="C35" s="1">
        <v>128</v>
      </c>
      <c r="D35" s="1">
        <v>0</v>
      </c>
      <c r="E35" s="1">
        <v>128</v>
      </c>
      <c r="F35" s="1">
        <v>0</v>
      </c>
      <c r="G35" s="1">
        <v>0</v>
      </c>
      <c r="H35" s="1">
        <v>0</v>
      </c>
    </row>
    <row r="36" spans="1:8">
      <c r="A36" s="1" t="s">
        <v>36</v>
      </c>
      <c r="B36" s="2">
        <v>0.4668534100055695</v>
      </c>
      <c r="C36" s="1">
        <v>120</v>
      </c>
      <c r="D36" s="1">
        <v>0</v>
      </c>
      <c r="E36" s="1">
        <v>120</v>
      </c>
      <c r="F36" s="1">
        <v>0</v>
      </c>
      <c r="G36" s="1">
        <v>0</v>
      </c>
      <c r="H36" s="1">
        <v>0</v>
      </c>
    </row>
    <row r="37" spans="1:8">
      <c r="A37" s="1" t="s">
        <v>37</v>
      </c>
      <c r="B37" s="2">
        <v>0.4668534100055695</v>
      </c>
      <c r="C37" s="1">
        <v>120</v>
      </c>
      <c r="D37" s="1">
        <v>0</v>
      </c>
      <c r="E37" s="1">
        <v>120</v>
      </c>
      <c r="F37" s="1">
        <v>0</v>
      </c>
      <c r="G37" s="1">
        <v>0</v>
      </c>
      <c r="H37" s="1">
        <v>0</v>
      </c>
    </row>
    <row r="38" spans="1:8">
      <c r="A38" s="1" t="s">
        <v>38</v>
      </c>
      <c r="B38" s="2">
        <v>0.4201680719852448</v>
      </c>
      <c r="C38" s="1">
        <v>108</v>
      </c>
      <c r="D38" s="1">
        <v>0</v>
      </c>
      <c r="E38" s="1">
        <v>108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0.4046062827110291</v>
      </c>
      <c r="C39" s="1">
        <v>104</v>
      </c>
      <c r="D39" s="1">
        <v>0</v>
      </c>
      <c r="E39" s="1">
        <v>104</v>
      </c>
      <c r="F39" s="1">
        <v>0</v>
      </c>
      <c r="G39" s="1">
        <v>0</v>
      </c>
      <c r="H39" s="1">
        <v>0</v>
      </c>
    </row>
    <row r="40" spans="1:8">
      <c r="A40" s="1" t="s">
        <v>40</v>
      </c>
      <c r="B40" s="2">
        <v>0.4046062827110291</v>
      </c>
      <c r="C40" s="1">
        <v>104</v>
      </c>
      <c r="D40" s="1">
        <v>0</v>
      </c>
      <c r="E40" s="1">
        <v>104</v>
      </c>
      <c r="F40" s="1">
        <v>0</v>
      </c>
      <c r="G40" s="1">
        <v>0</v>
      </c>
      <c r="H40" s="1">
        <v>0</v>
      </c>
    </row>
    <row r="41" spans="1:8">
      <c r="A41" s="1" t="s">
        <v>41</v>
      </c>
      <c r="B41" s="2">
        <v>0.3890444934368134</v>
      </c>
      <c r="C41" s="1">
        <v>100</v>
      </c>
      <c r="D41" s="1">
        <v>0</v>
      </c>
      <c r="E41" s="1">
        <v>100</v>
      </c>
      <c r="F41" s="1">
        <v>0</v>
      </c>
      <c r="G41" s="1">
        <v>0</v>
      </c>
      <c r="H41" s="1">
        <v>0</v>
      </c>
    </row>
    <row r="42" spans="1:8">
      <c r="A42" s="1" t="s">
        <v>42</v>
      </c>
      <c r="B42" s="2">
        <v>0.3501400649547577</v>
      </c>
      <c r="C42" s="1">
        <v>90</v>
      </c>
      <c r="D42" s="1">
        <v>0</v>
      </c>
      <c r="E42" s="1">
        <v>90</v>
      </c>
      <c r="F42" s="1">
        <v>0</v>
      </c>
      <c r="G42" s="1">
        <v>0</v>
      </c>
      <c r="H42" s="1">
        <v>0</v>
      </c>
    </row>
    <row r="43" spans="1:8">
      <c r="A43" s="1" t="s">
        <v>43</v>
      </c>
      <c r="B43" s="2">
        <v>0.334578275680542</v>
      </c>
      <c r="C43" s="1">
        <v>86</v>
      </c>
      <c r="D43" s="1">
        <v>0</v>
      </c>
      <c r="E43" s="1">
        <v>86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0.334578275680542</v>
      </c>
      <c r="C44" s="1">
        <v>86</v>
      </c>
      <c r="D44" s="1">
        <v>0</v>
      </c>
      <c r="E44" s="1">
        <v>86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0.3267973959445953</v>
      </c>
      <c r="C45" s="1">
        <v>84</v>
      </c>
      <c r="D45" s="1">
        <v>0</v>
      </c>
      <c r="E45" s="1">
        <v>84</v>
      </c>
      <c r="F45" s="1">
        <v>0</v>
      </c>
      <c r="G45" s="1">
        <v>0</v>
      </c>
      <c r="H45" s="1">
        <v>0</v>
      </c>
    </row>
    <row r="46" spans="1:8">
      <c r="A46" s="1" t="s">
        <v>46</v>
      </c>
      <c r="B46" s="2">
        <v>0.3267973959445953</v>
      </c>
      <c r="C46" s="1">
        <v>84</v>
      </c>
      <c r="D46" s="1">
        <v>0</v>
      </c>
      <c r="E46" s="1">
        <v>84</v>
      </c>
      <c r="F46" s="1">
        <v>0</v>
      </c>
      <c r="G46" s="1">
        <v>0</v>
      </c>
      <c r="H46" s="1">
        <v>0</v>
      </c>
    </row>
    <row r="47" spans="1:8">
      <c r="A47" s="1" t="s">
        <v>47</v>
      </c>
      <c r="B47" s="2">
        <v>0.3190164864063263</v>
      </c>
      <c r="C47" s="1">
        <v>82</v>
      </c>
      <c r="D47" s="1">
        <v>0</v>
      </c>
      <c r="E47" s="1">
        <v>82</v>
      </c>
      <c r="F47" s="1">
        <v>0</v>
      </c>
      <c r="G47" s="1">
        <v>0</v>
      </c>
      <c r="H47" s="1">
        <v>0</v>
      </c>
    </row>
    <row r="48" spans="1:8">
      <c r="A48" s="1" t="s">
        <v>48</v>
      </c>
      <c r="B48" s="2">
        <v>0.3112356066703796</v>
      </c>
      <c r="C48" s="1">
        <v>80</v>
      </c>
      <c r="D48" s="1">
        <v>0</v>
      </c>
      <c r="E48" s="1">
        <v>80</v>
      </c>
      <c r="F48" s="1">
        <v>0</v>
      </c>
      <c r="G48" s="1">
        <v>0</v>
      </c>
      <c r="H48" s="1">
        <v>0</v>
      </c>
    </row>
    <row r="49" spans="1:8">
      <c r="A49" s="1" t="s">
        <v>49</v>
      </c>
      <c r="B49" s="2">
        <v>0.303454726934433</v>
      </c>
      <c r="C49" s="1">
        <v>78</v>
      </c>
      <c r="D49" s="1">
        <v>0</v>
      </c>
      <c r="E49" s="1">
        <v>78</v>
      </c>
      <c r="F49" s="1">
        <v>0</v>
      </c>
      <c r="G49" s="1">
        <v>0</v>
      </c>
      <c r="H49" s="1">
        <v>0</v>
      </c>
    </row>
    <row r="50" spans="1:8">
      <c r="A50" s="1" t="s">
        <v>50</v>
      </c>
      <c r="B50" s="2">
        <v>0.2956738173961639</v>
      </c>
      <c r="C50" s="1">
        <v>76</v>
      </c>
      <c r="D50" s="1">
        <v>0</v>
      </c>
      <c r="E50" s="1">
        <v>76</v>
      </c>
      <c r="F50" s="1">
        <v>0</v>
      </c>
      <c r="G50" s="1">
        <v>0</v>
      </c>
      <c r="H50" s="1">
        <v>0</v>
      </c>
    </row>
    <row r="51" spans="1:8">
      <c r="A51" s="1" t="s">
        <v>51</v>
      </c>
      <c r="B51" s="2">
        <v>0.2956738173961639</v>
      </c>
      <c r="C51" s="1">
        <v>76</v>
      </c>
      <c r="D51" s="1">
        <v>0</v>
      </c>
      <c r="E51" s="1">
        <v>76</v>
      </c>
      <c r="F51" s="1">
        <v>0</v>
      </c>
      <c r="G51" s="1">
        <v>0</v>
      </c>
      <c r="H51" s="1">
        <v>0</v>
      </c>
    </row>
    <row r="52" spans="1:8">
      <c r="A52" s="1" t="s">
        <v>52</v>
      </c>
      <c r="B52" s="2">
        <v>0.2878929376602173</v>
      </c>
      <c r="C52" s="1">
        <v>74</v>
      </c>
      <c r="D52" s="1">
        <v>0</v>
      </c>
      <c r="E52" s="1">
        <v>74</v>
      </c>
      <c r="F52" s="1">
        <v>0</v>
      </c>
      <c r="G52" s="1">
        <v>0</v>
      </c>
      <c r="H52" s="1">
        <v>0</v>
      </c>
    </row>
    <row r="53" spans="1:8">
      <c r="A53" s="1" t="s">
        <v>53</v>
      </c>
      <c r="B53" s="2">
        <v>0.2334267050027847</v>
      </c>
      <c r="C53" s="1">
        <v>60</v>
      </c>
      <c r="D53" s="1">
        <v>0</v>
      </c>
      <c r="E53" s="1">
        <v>60</v>
      </c>
      <c r="F53" s="1">
        <v>0</v>
      </c>
      <c r="G53" s="1">
        <v>0</v>
      </c>
      <c r="H53" s="1">
        <v>0</v>
      </c>
    </row>
    <row r="54" spans="1:8">
      <c r="A54" s="1" t="s">
        <v>54</v>
      </c>
      <c r="B54" s="2">
        <v>0.2100840359926224</v>
      </c>
      <c r="C54" s="1">
        <v>54</v>
      </c>
      <c r="D54" s="1">
        <v>0</v>
      </c>
      <c r="E54" s="1">
        <v>54</v>
      </c>
      <c r="F54" s="1">
        <v>0</v>
      </c>
      <c r="G54" s="1">
        <v>0</v>
      </c>
      <c r="H54" s="1">
        <v>0</v>
      </c>
    </row>
    <row r="55" spans="1:8">
      <c r="A55" s="1" t="s">
        <v>55</v>
      </c>
      <c r="B55" s="2">
        <v>0.2023031413555145</v>
      </c>
      <c r="C55" s="1">
        <v>52</v>
      </c>
      <c r="D55" s="1">
        <v>0</v>
      </c>
      <c r="E55" s="1">
        <v>52</v>
      </c>
      <c r="F55" s="1">
        <v>0</v>
      </c>
      <c r="G55" s="1">
        <v>0</v>
      </c>
      <c r="H55" s="1">
        <v>0</v>
      </c>
    </row>
    <row r="56" spans="1:8">
      <c r="A56" s="1" t="s">
        <v>56</v>
      </c>
      <c r="B56" s="2">
        <v>0.18674136698246</v>
      </c>
      <c r="C56" s="1">
        <v>48</v>
      </c>
      <c r="D56" s="1">
        <v>0</v>
      </c>
      <c r="E56" s="1">
        <v>48</v>
      </c>
      <c r="F56" s="1">
        <v>0</v>
      </c>
      <c r="G56" s="1">
        <v>0</v>
      </c>
      <c r="H56" s="1">
        <v>0</v>
      </c>
    </row>
    <row r="57" spans="1:8">
      <c r="A57" s="1" t="s">
        <v>57</v>
      </c>
      <c r="B57" s="2">
        <v>0.18674136698246</v>
      </c>
      <c r="C57" s="1">
        <v>48</v>
      </c>
      <c r="D57" s="1">
        <v>0</v>
      </c>
      <c r="E57" s="1">
        <v>48</v>
      </c>
      <c r="F57" s="1">
        <v>0</v>
      </c>
      <c r="G57" s="1">
        <v>0</v>
      </c>
      <c r="H57" s="1">
        <v>0</v>
      </c>
    </row>
    <row r="58" spans="1:8">
      <c r="A58" s="1" t="s">
        <v>58</v>
      </c>
      <c r="B58" s="2">
        <v>0.1711795777082443</v>
      </c>
      <c r="C58" s="1">
        <v>44</v>
      </c>
      <c r="D58" s="1">
        <v>0</v>
      </c>
      <c r="E58" s="1">
        <v>44</v>
      </c>
      <c r="F58" s="1">
        <v>0</v>
      </c>
      <c r="G58" s="1">
        <v>0</v>
      </c>
      <c r="H58" s="1">
        <v>0</v>
      </c>
    </row>
    <row r="59" spans="1:8">
      <c r="A59" s="1" t="s">
        <v>59</v>
      </c>
      <c r="B59" s="2">
        <v>0.1556178033351898</v>
      </c>
      <c r="C59" s="1">
        <v>40</v>
      </c>
      <c r="D59" s="1">
        <v>0</v>
      </c>
      <c r="E59" s="1">
        <v>40</v>
      </c>
      <c r="F59" s="1">
        <v>0</v>
      </c>
      <c r="G59" s="1">
        <v>0</v>
      </c>
      <c r="H59" s="1">
        <v>0</v>
      </c>
    </row>
    <row r="60" spans="1:8">
      <c r="A60" s="1" t="s">
        <v>60</v>
      </c>
      <c r="B60" s="2">
        <v>0.1556178033351898</v>
      </c>
      <c r="C60" s="1">
        <v>40</v>
      </c>
      <c r="D60" s="1">
        <v>0</v>
      </c>
      <c r="E60" s="1">
        <v>40</v>
      </c>
      <c r="F60" s="1">
        <v>0</v>
      </c>
      <c r="G60" s="1">
        <v>0</v>
      </c>
      <c r="H60" s="1">
        <v>0</v>
      </c>
    </row>
    <row r="61" spans="1:8">
      <c r="A61" s="1" t="s">
        <v>61</v>
      </c>
      <c r="B61" s="2">
        <v>0.1400560289621353</v>
      </c>
      <c r="C61" s="1">
        <v>36</v>
      </c>
      <c r="D61" s="1">
        <v>0</v>
      </c>
      <c r="E61" s="1">
        <v>36</v>
      </c>
      <c r="F61" s="1">
        <v>0</v>
      </c>
      <c r="G61" s="1">
        <v>0</v>
      </c>
      <c r="H61" s="1">
        <v>0</v>
      </c>
    </row>
    <row r="62" spans="1:8">
      <c r="A62" s="1" t="s">
        <v>13</v>
      </c>
      <c r="B62" s="2">
        <v>0.1167133525013924</v>
      </c>
      <c r="C62" s="1">
        <v>30</v>
      </c>
      <c r="D62" s="1">
        <v>4</v>
      </c>
      <c r="E62" s="1">
        <v>2</v>
      </c>
      <c r="F62" s="1">
        <v>24</v>
      </c>
      <c r="G62" s="1">
        <v>4</v>
      </c>
      <c r="H62" s="1">
        <v>0</v>
      </c>
    </row>
    <row r="63" spans="1:8">
      <c r="A63" s="1" t="s">
        <v>62</v>
      </c>
      <c r="B63" s="2">
        <v>0.1089324653148651</v>
      </c>
      <c r="C63" s="1">
        <v>28</v>
      </c>
      <c r="D63" s="1">
        <v>0</v>
      </c>
      <c r="E63" s="1">
        <v>28</v>
      </c>
      <c r="F63" s="1">
        <v>0</v>
      </c>
      <c r="G63" s="1">
        <v>0</v>
      </c>
      <c r="H63" s="1">
        <v>0</v>
      </c>
    </row>
    <row r="64" spans="1:8">
      <c r="A64" s="1" t="s">
        <v>63</v>
      </c>
      <c r="B64" s="2">
        <v>0.1011515706777573</v>
      </c>
      <c r="C64" s="1">
        <v>26</v>
      </c>
      <c r="D64" s="1">
        <v>0</v>
      </c>
      <c r="E64" s="1">
        <v>26</v>
      </c>
      <c r="F64" s="1">
        <v>0</v>
      </c>
      <c r="G64" s="1">
        <v>0</v>
      </c>
      <c r="H64" s="1">
        <v>0</v>
      </c>
    </row>
    <row r="65" spans="1:8">
      <c r="A65" s="1" t="s">
        <v>64</v>
      </c>
      <c r="B65" s="2">
        <v>0.09337068349123001</v>
      </c>
      <c r="C65" s="1">
        <v>24</v>
      </c>
      <c r="D65" s="1">
        <v>0</v>
      </c>
      <c r="E65" s="1">
        <v>24</v>
      </c>
      <c r="F65" s="1">
        <v>0</v>
      </c>
      <c r="G65" s="1">
        <v>0</v>
      </c>
      <c r="H65" s="1">
        <v>0</v>
      </c>
    </row>
    <row r="66" spans="1:8">
      <c r="A66" s="1" t="s">
        <v>65</v>
      </c>
      <c r="B66" s="2">
        <v>0.09337068349123001</v>
      </c>
      <c r="C66" s="1">
        <v>24</v>
      </c>
      <c r="D66" s="1">
        <v>0</v>
      </c>
      <c r="E66" s="1">
        <v>24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0.09337068349123001</v>
      </c>
      <c r="C67" s="1">
        <v>24</v>
      </c>
      <c r="D67" s="1">
        <v>0</v>
      </c>
      <c r="E67" s="1">
        <v>24</v>
      </c>
      <c r="F67" s="1">
        <v>0</v>
      </c>
      <c r="G67" s="1">
        <v>0</v>
      </c>
      <c r="H67" s="1">
        <v>0</v>
      </c>
    </row>
    <row r="68" spans="1:8">
      <c r="A68" s="1" t="s">
        <v>67</v>
      </c>
      <c r="B68" s="2">
        <v>0.07002801448106766</v>
      </c>
      <c r="C68" s="1">
        <v>18</v>
      </c>
      <c r="D68" s="1">
        <v>0</v>
      </c>
      <c r="E68" s="1">
        <v>18</v>
      </c>
      <c r="F68" s="1">
        <v>0</v>
      </c>
      <c r="G68" s="1">
        <v>0</v>
      </c>
      <c r="H68" s="1">
        <v>0</v>
      </c>
    </row>
    <row r="69" spans="1:8">
      <c r="A69" s="1" t="s">
        <v>68</v>
      </c>
      <c r="B69" s="2">
        <v>0.04668534174561501</v>
      </c>
      <c r="C69" s="1">
        <v>12</v>
      </c>
      <c r="D69" s="1">
        <v>0</v>
      </c>
      <c r="E69" s="1">
        <v>12</v>
      </c>
      <c r="F69" s="1">
        <v>0</v>
      </c>
      <c r="G69" s="1">
        <v>0</v>
      </c>
      <c r="H69" s="1">
        <v>0</v>
      </c>
    </row>
    <row r="70" spans="1:8">
      <c r="A70" s="1" t="s">
        <v>69</v>
      </c>
      <c r="B70" s="2">
        <v>0.04668534174561501</v>
      </c>
      <c r="C70" s="1">
        <v>12</v>
      </c>
      <c r="D70" s="1">
        <v>0</v>
      </c>
      <c r="E70" s="1">
        <v>12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0.04668534174561501</v>
      </c>
      <c r="C71" s="1">
        <v>12</v>
      </c>
      <c r="D71" s="1">
        <v>0</v>
      </c>
      <c r="E71" s="1">
        <v>12</v>
      </c>
      <c r="F71" s="1">
        <v>0</v>
      </c>
      <c r="G71" s="1">
        <v>0</v>
      </c>
      <c r="H71" s="1">
        <v>0</v>
      </c>
    </row>
    <row r="72" spans="1:8">
      <c r="A72" s="1" t="s">
        <v>71</v>
      </c>
      <c r="B72" s="2">
        <v>0.03890445083379746</v>
      </c>
      <c r="C72" s="1">
        <v>10</v>
      </c>
      <c r="D72" s="1">
        <v>0</v>
      </c>
      <c r="E72" s="1">
        <v>10</v>
      </c>
      <c r="F72" s="1">
        <v>0</v>
      </c>
      <c r="G72" s="1">
        <v>0</v>
      </c>
      <c r="H72" s="1">
        <v>0</v>
      </c>
    </row>
    <row r="73" spans="1:8">
      <c r="A73" s="1" t="s">
        <v>72</v>
      </c>
      <c r="B73" s="2">
        <v>0.03890445083379746</v>
      </c>
      <c r="C73" s="1">
        <v>10</v>
      </c>
      <c r="D73" s="1">
        <v>0</v>
      </c>
      <c r="E73" s="1">
        <v>10</v>
      </c>
      <c r="F73" s="1">
        <v>0</v>
      </c>
      <c r="G73" s="1">
        <v>0</v>
      </c>
      <c r="H73" s="1">
        <v>0</v>
      </c>
    </row>
    <row r="74" spans="1:8">
      <c r="A74" s="1" t="s">
        <v>5</v>
      </c>
      <c r="B74" s="2">
        <v>0.0311235599219799</v>
      </c>
      <c r="C74" s="1">
        <v>8</v>
      </c>
      <c r="D74" s="1">
        <v>96</v>
      </c>
      <c r="E74" s="1">
        <v>8</v>
      </c>
      <c r="F74" s="1">
        <v>0</v>
      </c>
      <c r="G74" s="1">
        <v>0</v>
      </c>
      <c r="H74" s="1">
        <v>96</v>
      </c>
    </row>
    <row r="75" spans="1:8">
      <c r="A75" s="1" t="s">
        <v>73</v>
      </c>
      <c r="B75" s="2">
        <v>0.0311235599219799</v>
      </c>
      <c r="C75" s="1">
        <v>8</v>
      </c>
      <c r="D75" s="1">
        <v>0</v>
      </c>
      <c r="E75" s="1">
        <v>8</v>
      </c>
      <c r="F75" s="1">
        <v>0</v>
      </c>
      <c r="G75" s="1">
        <v>0</v>
      </c>
      <c r="H75" s="1">
        <v>0</v>
      </c>
    </row>
    <row r="76" spans="1:8">
      <c r="A76" s="1" t="s">
        <v>74</v>
      </c>
      <c r="B76" s="2">
        <v>0.0311235599219799</v>
      </c>
      <c r="C76" s="1">
        <v>8</v>
      </c>
      <c r="D76" s="1">
        <v>0</v>
      </c>
      <c r="E76" s="1">
        <v>8</v>
      </c>
      <c r="F76" s="1">
        <v>0</v>
      </c>
      <c r="G76" s="1">
        <v>0</v>
      </c>
      <c r="H76" s="1">
        <v>0</v>
      </c>
    </row>
    <row r="77" spans="1:8">
      <c r="A77" s="1" t="s">
        <v>75</v>
      </c>
      <c r="B77" s="2">
        <v>0.0233426708728075</v>
      </c>
      <c r="C77" s="1">
        <v>6</v>
      </c>
      <c r="D77" s="1">
        <v>0</v>
      </c>
      <c r="E77" s="1">
        <v>6</v>
      </c>
      <c r="F77" s="1">
        <v>0</v>
      </c>
      <c r="G77" s="1">
        <v>0</v>
      </c>
      <c r="H77" s="1">
        <v>0</v>
      </c>
    </row>
    <row r="78" spans="1:8">
      <c r="A78" s="1" t="s">
        <v>76</v>
      </c>
      <c r="B78" s="2">
        <v>0.0233426708728075</v>
      </c>
      <c r="C78" s="1">
        <v>6</v>
      </c>
      <c r="D78" s="1">
        <v>0</v>
      </c>
      <c r="E78" s="1">
        <v>6</v>
      </c>
      <c r="F78" s="1">
        <v>0</v>
      </c>
      <c r="G78" s="1">
        <v>0</v>
      </c>
      <c r="H78" s="1">
        <v>0</v>
      </c>
    </row>
    <row r="79" spans="1:8">
      <c r="A79" s="1" t="s">
        <v>77</v>
      </c>
      <c r="B79" s="2">
        <v>0.0233426708728075</v>
      </c>
      <c r="C79" s="1">
        <v>6</v>
      </c>
      <c r="D79" s="1">
        <v>0</v>
      </c>
      <c r="E79" s="1">
        <v>6</v>
      </c>
      <c r="F79" s="1">
        <v>0</v>
      </c>
      <c r="G79" s="1">
        <v>0</v>
      </c>
      <c r="H79" s="1">
        <v>0</v>
      </c>
    </row>
    <row r="80" spans="1:8">
      <c r="A80" s="1" t="s">
        <v>78</v>
      </c>
      <c r="B80" s="2">
        <v>0.0233426708728075</v>
      </c>
      <c r="C80" s="1">
        <v>6</v>
      </c>
      <c r="D80" s="1">
        <v>0</v>
      </c>
      <c r="E80" s="1">
        <v>6</v>
      </c>
      <c r="F80" s="1">
        <v>0</v>
      </c>
      <c r="G80" s="1">
        <v>0</v>
      </c>
      <c r="H80" s="1">
        <v>0</v>
      </c>
    </row>
    <row r="81" spans="1:8">
      <c r="A81" s="1" t="s">
        <v>79</v>
      </c>
      <c r="B81" s="2">
        <v>0.01556177996098995</v>
      </c>
      <c r="C81" s="1">
        <v>4</v>
      </c>
      <c r="D81" s="1">
        <v>0</v>
      </c>
      <c r="E81" s="1">
        <v>4</v>
      </c>
      <c r="F81" s="1">
        <v>0</v>
      </c>
      <c r="G81" s="1">
        <v>0</v>
      </c>
      <c r="H81" s="1">
        <v>0</v>
      </c>
    </row>
    <row r="82" spans="1:8">
      <c r="A82" s="1" t="s">
        <v>80</v>
      </c>
      <c r="B82" s="2">
        <v>0.007780889980494976</v>
      </c>
      <c r="C82" s="1">
        <v>2</v>
      </c>
      <c r="D82" s="1">
        <v>0</v>
      </c>
      <c r="E82" s="1">
        <v>2</v>
      </c>
      <c r="F82" s="1">
        <v>0</v>
      </c>
      <c r="G82" s="1">
        <v>0</v>
      </c>
      <c r="H82" s="1">
        <v>0</v>
      </c>
    </row>
    <row r="83" spans="1:8">
      <c r="A83" s="1" t="s">
        <v>81</v>
      </c>
      <c r="B83" s="2">
        <v>0.007780889980494976</v>
      </c>
      <c r="C83" s="1">
        <v>2</v>
      </c>
      <c r="D83" s="1">
        <v>0</v>
      </c>
      <c r="E83" s="1">
        <v>2</v>
      </c>
      <c r="F83" s="1">
        <v>0</v>
      </c>
      <c r="G83" s="1">
        <v>0</v>
      </c>
      <c r="H83" s="1">
        <v>0</v>
      </c>
    </row>
    <row r="84" spans="1:8">
      <c r="A84" s="1" t="s">
        <v>82</v>
      </c>
      <c r="B84" s="2">
        <v>0.007780889980494976</v>
      </c>
      <c r="C84" s="1">
        <v>2</v>
      </c>
      <c r="D84" s="1">
        <v>0</v>
      </c>
      <c r="E84" s="1">
        <v>2</v>
      </c>
      <c r="F84" s="1">
        <v>0</v>
      </c>
      <c r="G84" s="1">
        <v>0</v>
      </c>
      <c r="H84" s="1">
        <v>0</v>
      </c>
    </row>
    <row r="85" spans="1:8">
      <c r="A85" s="1" t="s">
        <v>83</v>
      </c>
      <c r="B85" s="2">
        <v>0.007780889980494976</v>
      </c>
      <c r="C85" s="1">
        <v>2</v>
      </c>
      <c r="D85" s="1">
        <v>0</v>
      </c>
      <c r="E85" s="1">
        <v>2</v>
      </c>
      <c r="F85" s="1">
        <v>0</v>
      </c>
      <c r="G85" s="1">
        <v>0</v>
      </c>
      <c r="H85" s="1">
        <v>0</v>
      </c>
    </row>
    <row r="86" spans="1:8">
      <c r="A86" s="1" t="s">
        <v>84</v>
      </c>
      <c r="B86" s="2">
        <v>0.007780889980494976</v>
      </c>
      <c r="C86" s="1">
        <v>2</v>
      </c>
      <c r="D86" s="1">
        <v>0</v>
      </c>
      <c r="E86" s="1">
        <v>2</v>
      </c>
      <c r="F86" s="1">
        <v>0</v>
      </c>
      <c r="G86" s="1">
        <v>0</v>
      </c>
      <c r="H86" s="1">
        <v>0</v>
      </c>
    </row>
    <row r="87" spans="1:8">
      <c r="A87" s="1" t="s">
        <v>85</v>
      </c>
      <c r="B87" s="2">
        <v>0.007780889980494976</v>
      </c>
      <c r="C87" s="1">
        <v>2</v>
      </c>
      <c r="D87" s="1">
        <v>0</v>
      </c>
      <c r="E87" s="1">
        <v>2</v>
      </c>
      <c r="F87" s="1">
        <v>0</v>
      </c>
      <c r="G87" s="1">
        <v>0</v>
      </c>
      <c r="H87" s="1">
        <v>0</v>
      </c>
    </row>
    <row r="88" spans="1:8">
      <c r="A88" s="1" t="s">
        <v>86</v>
      </c>
      <c r="B88" s="2">
        <v>0.007780889980494976</v>
      </c>
      <c r="C88" s="1">
        <v>2</v>
      </c>
      <c r="D88" s="1">
        <v>0</v>
      </c>
      <c r="E88" s="1">
        <v>2</v>
      </c>
      <c r="F88" s="1">
        <v>0</v>
      </c>
      <c r="G88" s="1">
        <v>0</v>
      </c>
      <c r="H88" s="1">
        <v>0</v>
      </c>
    </row>
    <row r="89" spans="1:8">
      <c r="A89" t="s">
        <v>88</v>
      </c>
      <c r="B89">
        <f>SUBTOTAL(109,[flash_percent])</f>
        <v>0</v>
      </c>
      <c r="C89">
        <f>SUBTOTAL(109,[flash])</f>
        <v>0</v>
      </c>
      <c r="D89">
        <f>SUBTOTAL(109,[ram])</f>
        <v>0</v>
      </c>
      <c r="E89">
        <f>SUBTOTAL(109,[Code])</f>
        <v>0</v>
      </c>
      <c r="F89">
        <f>SUBTOTAL(109,[RO_data])</f>
        <v>0</v>
      </c>
      <c r="G89">
        <f>SUBTOTAL(109,[RW_data])</f>
        <v>0</v>
      </c>
      <c r="H8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2026-03-24T12:46:30Z</dcterms:created>
  <dcterms:modified xsi:type="dcterms:W3CDTF">2026-03-24T12:46:30Z</dcterms:modified>
</cp:coreProperties>
</file>